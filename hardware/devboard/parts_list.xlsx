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JLCPCB order" sheetId="1" state="visible" r:id="rId1"/>
    <sheet name="Our orde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5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11"/>
    </font>
  </fonts>
  <fills count="5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CF4"/>
        <bgColor rgb="FFFFFFFF"/>
      </patternFill>
    </fill>
    <fill>
      <patternFill patternType="solid">
        <fgColor rgb="FFFFF7B3"/>
        <b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B3"/>
      <rgbColor rgb="FFE8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46" customWidth="1" style="14" min="2" max="2"/>
    <col width="30" customWidth="1" style="14" min="3" max="3"/>
    <col width="12" customWidth="1" style="14" min="4" max="4"/>
    <col width="14" customWidth="1" style="14" min="5" max="5"/>
  </cols>
  <sheetData>
    <row r="1" ht="18.55" customHeight="1" s="15">
      <c r="A1" s="16" t="inlineStr">
        <is>
          <t>JLCPCB order</t>
        </is>
      </c>
    </row>
    <row r="3" ht="15" customHeight="1" s="15">
      <c r="A3" s="17" t="inlineStr">
        <is>
          <t>Part</t>
        </is>
      </c>
      <c r="B3" s="17" t="inlineStr">
        <is>
          <t>What it is for</t>
        </is>
      </c>
      <c r="C3" s="17" t="inlineStr">
        <is>
          <t>On the board as</t>
        </is>
      </c>
      <c r="D3" s="17" t="inlineStr">
        <is>
          <t>LCSC #</t>
        </is>
      </c>
      <c r="E3" s="17" t="inlineStr">
        <is>
          <t>Qty per board</t>
        </is>
      </c>
    </row>
    <row r="4" ht="15" customHeight="1" s="15">
      <c r="A4" s="18" t="inlineStr">
        <is>
          <t>nPM1300</t>
        </is>
      </c>
      <c r="B4" s="19" t="inlineStr">
        <is>
          <t>Charging + power</t>
        </is>
      </c>
      <c r="C4" s="19" t="inlineStr">
        <is>
          <t>U2</t>
        </is>
      </c>
      <c r="D4" s="19" t="inlineStr">
        <is>
          <t>C7466043</t>
        </is>
      </c>
      <c r="E4" s="19" t="n">
        <v>1</v>
      </c>
    </row>
    <row r="5" ht="15" customHeight="1" s="15">
      <c r="A5" s="18" t="inlineStr">
        <is>
          <t>T5838</t>
        </is>
      </c>
      <c r="B5" s="19" t="inlineStr">
        <is>
          <t>Microphone</t>
        </is>
      </c>
      <c r="C5" s="19" t="inlineStr">
        <is>
          <t>U4</t>
        </is>
      </c>
      <c r="D5" s="19" t="inlineStr">
        <is>
          <t>C7230692</t>
        </is>
      </c>
      <c r="E5" s="19" t="n">
        <v>1</v>
      </c>
    </row>
    <row r="6" ht="15" customHeight="1" s="15">
      <c r="A6" s="18" t="inlineStr">
        <is>
          <t>LSM6DSV16BX</t>
        </is>
      </c>
      <c r="B6" s="19" t="inlineStr">
        <is>
          <t>Motion + bone sensor</t>
        </is>
      </c>
      <c r="C6" s="19" t="inlineStr">
        <is>
          <t>U3</t>
        </is>
      </c>
      <c r="D6" s="19" t="inlineStr">
        <is>
          <t>C5267394</t>
        </is>
      </c>
      <c r="E6" s="19" t="n">
        <v>1</v>
      </c>
    </row>
    <row r="7" ht="15" customHeight="1" s="15">
      <c r="A7" s="18" t="inlineStr">
        <is>
          <t>DRV2605L</t>
        </is>
      </c>
      <c r="B7" s="19" t="inlineStr">
        <is>
          <t>Drives the vibration motor</t>
        </is>
      </c>
      <c r="C7" s="19" t="inlineStr">
        <is>
          <t>U5</t>
        </is>
      </c>
      <c r="D7" s="19" t="inlineStr">
        <is>
          <t>C527464</t>
        </is>
      </c>
      <c r="E7" s="19" t="n">
        <v>1</v>
      </c>
    </row>
    <row r="8" ht="15" customHeight="1" s="15">
      <c r="A8" s="18" t="inlineStr">
        <is>
          <t>USB-C port</t>
        </is>
      </c>
      <c r="B8" s="19" t="inlineStr">
        <is>
          <t>Charging port</t>
        </is>
      </c>
      <c r="C8" s="19" t="inlineStr">
        <is>
          <t>J1</t>
        </is>
      </c>
      <c r="D8" s="19" t="inlineStr">
        <is>
          <t>C5246813</t>
        </is>
      </c>
      <c r="E8" s="19" t="n">
        <v>1</v>
      </c>
    </row>
    <row r="9" ht="15" customHeight="1" s="15">
      <c r="A9" s="18" t="inlineStr">
        <is>
          <t>Battery connector</t>
        </is>
      </c>
      <c r="B9" s="19" t="inlineStr">
        <is>
          <t>Battery plug</t>
        </is>
      </c>
      <c r="C9" s="19" t="inlineStr">
        <is>
          <t>J2</t>
        </is>
      </c>
      <c r="D9" s="19" t="inlineStr">
        <is>
          <t>C295747</t>
        </is>
      </c>
      <c r="E9" s="19" t="n">
        <v>1</v>
      </c>
    </row>
    <row r="10" ht="15" customHeight="1" s="15">
      <c r="A10" s="18" t="inlineStr">
        <is>
          <t>Motor connector</t>
        </is>
      </c>
      <c r="B10" s="19" t="inlineStr">
        <is>
          <t>Motor plug</t>
        </is>
      </c>
      <c r="C10" s="19" t="inlineStr">
        <is>
          <t>J3</t>
        </is>
      </c>
      <c r="D10" s="19" t="inlineStr">
        <is>
          <t>C160402</t>
        </is>
      </c>
      <c r="E10" s="19" t="n">
        <v>1</v>
      </c>
    </row>
    <row r="11" ht="15" customHeight="1" s="15">
      <c r="A11" s="18" t="inlineStr">
        <is>
          <t>Debug header</t>
        </is>
      </c>
      <c r="B11" s="19" t="inlineStr">
        <is>
          <t>Programming port</t>
        </is>
      </c>
      <c r="C11" s="19" t="inlineStr">
        <is>
          <t>J4</t>
        </is>
      </c>
      <c r="D11" s="19" t="inlineStr">
        <is>
          <t>C2932107</t>
        </is>
      </c>
      <c r="E11" s="19" t="n">
        <v>1</v>
      </c>
    </row>
    <row r="12" ht="15" customHeight="1" s="15">
      <c r="A12" s="18" t="inlineStr">
        <is>
          <t>TVS 5V</t>
        </is>
      </c>
      <c r="B12" s="19" t="inlineStr">
        <is>
          <t>Protects the USB port</t>
        </is>
      </c>
      <c r="C12" s="19" t="inlineStr">
        <is>
          <t>D1</t>
        </is>
      </c>
      <c r="D12" s="19" t="inlineStr">
        <is>
          <t>C82044</t>
        </is>
      </c>
      <c r="E12" s="19" t="n">
        <v>1</v>
      </c>
    </row>
    <row r="13" ht="15" customHeight="1" s="15">
      <c r="A13" s="18" t="inlineStr">
        <is>
          <t>2.2uH</t>
        </is>
      </c>
      <c r="B13" s="19" t="inlineStr">
        <is>
          <t>Power coil</t>
        </is>
      </c>
      <c r="C13" s="19" t="inlineStr">
        <is>
          <t>L1</t>
        </is>
      </c>
      <c r="D13" s="19" t="inlineStr">
        <is>
          <t>C2049745</t>
        </is>
      </c>
      <c r="E13" s="19" t="n">
        <v>1</v>
      </c>
    </row>
    <row r="14" ht="15" customHeight="1" s="15">
      <c r="A14" s="18" t="inlineStr">
        <is>
          <t>10k NTC</t>
        </is>
      </c>
      <c r="B14" s="19" t="inlineStr">
        <is>
          <t>Battery temperature sensor</t>
        </is>
      </c>
      <c r="C14" s="19" t="inlineStr">
        <is>
          <t>RT1</t>
        </is>
      </c>
      <c r="D14" s="19" t="inlineStr">
        <is>
          <t>C77131</t>
        </is>
      </c>
      <c r="E14" s="19" t="n">
        <v>1</v>
      </c>
    </row>
    <row r="15" ht="15" customHeight="1" s="15">
      <c r="A15" s="18" t="inlineStr">
        <is>
          <t>Buttons</t>
        </is>
      </c>
      <c r="B15" s="19" t="inlineStr">
        <is>
          <t>Power and calibrate buttons</t>
        </is>
      </c>
      <c r="C15" s="19" t="inlineStr">
        <is>
          <t>SW1, SW2</t>
        </is>
      </c>
      <c r="D15" s="19" t="inlineStr">
        <is>
          <t>C231329</t>
        </is>
      </c>
      <c r="E15" s="19" t="n">
        <v>2</v>
      </c>
    </row>
    <row r="16" ht="52.2" customHeight="1" s="15">
      <c r="A16" s="18" t="inlineStr">
        <is>
          <t>Small parts</t>
        </is>
      </c>
      <c r="B16" s="19" t="inlineStr">
        <is>
          <t>Resistors and capacitors (24 pieces)</t>
        </is>
      </c>
      <c r="C16" s="19" t="inlineStr">
        <is>
          <t>C1,C4,C11,C12,C17,C19, C2,C5,C6,C18,C20,C21, C3, C16, C8,C9,C10,C22, R1,R2, R3, R6, R7,R8</t>
        </is>
      </c>
      <c r="D16" s="19" t="inlineStr">
        <is>
          <t>see bom.csv</t>
        </is>
      </c>
      <c r="E16" s="19" t="n">
        <v>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30" customWidth="1" style="14" min="2" max="2"/>
    <col width="52" customWidth="1" style="14" min="3" max="3"/>
    <col width="20" customWidth="1" style="14" min="4" max="4"/>
    <col width="6" customWidth="1" style="14" min="5" max="5"/>
    <col width="11" customWidth="1" style="14" min="6" max="7"/>
    <col width="10" customWidth="1" style="14" min="8" max="8"/>
  </cols>
  <sheetData>
    <row r="1" ht="18.55" customHeight="1" s="15">
      <c r="A1" s="16" t="inlineStr">
        <is>
          <t>Our order</t>
        </is>
      </c>
    </row>
    <row r="2"/>
    <row r="3" ht="15" customHeight="1" s="15">
      <c r="A3" s="20" t="inlineStr">
        <is>
          <t>On the board (we solder)</t>
        </is>
      </c>
      <c r="B3" s="21" t="n"/>
      <c r="C3" s="21" t="n"/>
      <c r="D3" s="21" t="n"/>
      <c r="E3" s="21" t="n"/>
      <c r="F3" s="21" t="n"/>
      <c r="G3" s="21" t="n"/>
      <c r="H3" s="21" t="n"/>
    </row>
    <row r="4" ht="15" customHeight="1" s="15">
      <c r="A4" s="22" t="inlineStr">
        <is>
          <t>Part</t>
        </is>
      </c>
      <c r="B4" s="22" t="inlineStr">
        <is>
          <t>What it is for</t>
        </is>
      </c>
      <c r="C4" s="22" t="inlineStr">
        <is>
          <t>Exact part number</t>
        </is>
      </c>
      <c r="D4" s="22" t="inlineStr">
        <is>
          <t>Buy from</t>
        </is>
      </c>
      <c r="E4" s="22" t="inlineStr">
        <is>
          <t>Qty</t>
        </is>
      </c>
      <c r="F4" s="22" t="inlineStr">
        <is>
          <t>Price each</t>
        </is>
      </c>
      <c r="G4" s="22" t="inlineStr">
        <is>
          <t>Total</t>
        </is>
      </c>
      <c r="H4" s="22" t="inlineStr">
        <is>
          <t>Bought?</t>
        </is>
      </c>
    </row>
    <row r="5" ht="15" customHeight="1" s="15">
      <c r="A5" s="18" t="inlineStr">
        <is>
          <t>Bluetooth module</t>
        </is>
      </c>
      <c r="B5" s="19" t="inlineStr">
        <is>
          <t>The brain + Bluetooth</t>
        </is>
      </c>
      <c r="C5" s="19" t="inlineStr">
        <is>
          <t>Ezurio BL54L15 453-00044R</t>
        </is>
      </c>
      <c r="D5" s="19" t="inlineStr">
        <is>
          <t>Digi-Key</t>
        </is>
      </c>
      <c r="E5" s="23" t="n">
        <v>6</v>
      </c>
      <c r="F5" s="24" t="n">
        <v>5.55</v>
      </c>
      <c r="G5" s="25">
        <f>E5*F5</f>
        <v/>
      </c>
      <c r="H5" s="26" t="inlineStr">
        <is>
          <t>No</t>
        </is>
      </c>
    </row>
    <row r="6" s="15"/>
    <row r="7" ht="15" customHeight="1" s="15">
      <c r="A7" s="20" t="inlineStr">
        <is>
          <t>Plugs into the board</t>
        </is>
      </c>
      <c r="B7" s="21" t="n"/>
      <c r="C7" s="21" t="n"/>
      <c r="D7" s="21" t="n"/>
      <c r="E7" s="21" t="n"/>
      <c r="F7" s="21" t="n"/>
      <c r="G7" s="21" t="n"/>
      <c r="H7" s="21" t="n"/>
    </row>
    <row r="8" ht="15" customHeight="1" s="15">
      <c r="A8" s="22" t="inlineStr">
        <is>
          <t>Part</t>
        </is>
      </c>
      <c r="B8" s="22" t="inlineStr">
        <is>
          <t>What it is for</t>
        </is>
      </c>
      <c r="C8" s="22" t="inlineStr">
        <is>
          <t>Exact part number</t>
        </is>
      </c>
      <c r="D8" s="22" t="inlineStr">
        <is>
          <t>Buy from</t>
        </is>
      </c>
      <c r="E8" s="22" t="inlineStr">
        <is>
          <t>Qty</t>
        </is>
      </c>
      <c r="F8" s="22" t="inlineStr">
        <is>
          <t>Price each</t>
        </is>
      </c>
      <c r="G8" s="22" t="inlineStr">
        <is>
          <t>Total</t>
        </is>
      </c>
      <c r="H8" s="22" t="inlineStr">
        <is>
          <t>Bought?</t>
        </is>
      </c>
    </row>
    <row r="9" ht="15" customHeight="1" s="15">
      <c r="A9" s="18" t="inlineStr">
        <is>
          <t>Antenna</t>
        </is>
      </c>
      <c r="B9" s="19" t="inlineStr">
        <is>
          <t>Bluetooth signal</t>
        </is>
      </c>
      <c r="C9" s="19" t="inlineStr">
        <is>
          <t>Taoglas FXP830.24.0100B (MHF4 plug)</t>
        </is>
      </c>
      <c r="D9" s="19" t="inlineStr">
        <is>
          <t>Digi-Key</t>
        </is>
      </c>
      <c r="E9" s="23" t="n">
        <v>2</v>
      </c>
      <c r="F9" s="24" t="n">
        <v>7.31</v>
      </c>
      <c r="G9" s="25">
        <f>E9*F9</f>
        <v/>
      </c>
      <c r="H9" s="26" t="inlineStr">
        <is>
          <t>No</t>
        </is>
      </c>
    </row>
    <row r="10" ht="15" customHeight="1" s="15">
      <c r="A10" s="18" t="inlineStr">
        <is>
          <t>Battery</t>
        </is>
      </c>
      <c r="B10" s="19" t="inlineStr">
        <is>
          <t>Power</t>
        </is>
      </c>
      <c r="C10" s="19" t="inlineStr">
        <is>
          <t>Adafruit #1570 (100 mAh LiPo)</t>
        </is>
      </c>
      <c r="D10" s="19" t="inlineStr">
        <is>
          <t>Adafruit</t>
        </is>
      </c>
      <c r="E10" s="23" t="n">
        <v>2</v>
      </c>
      <c r="F10" s="24" t="n">
        <v>5.95</v>
      </c>
      <c r="G10" s="25">
        <f>E10*F10</f>
        <v/>
      </c>
      <c r="H10" s="26" t="inlineStr">
        <is>
          <t>No</t>
        </is>
      </c>
    </row>
    <row r="11" ht="15" customHeight="1" s="15">
      <c r="A11" s="18" t="inlineStr">
        <is>
          <t>Vibration motor</t>
        </is>
      </c>
      <c r="B11" s="19" t="inlineStr">
        <is>
          <t>The "tap"</t>
        </is>
      </c>
      <c r="C11" s="19" t="inlineStr">
        <is>
          <t>Vybronics VG0832022D</t>
        </is>
      </c>
      <c r="D11" s="19" t="inlineStr">
        <is>
          <t>Digi-Key</t>
        </is>
      </c>
      <c r="E11" s="23" t="n">
        <v>3</v>
      </c>
      <c r="F11" s="24" t="n">
        <v>3.47</v>
      </c>
      <c r="G11" s="25">
        <f>E11*F11</f>
        <v/>
      </c>
      <c r="H11" s="26" t="inlineStr">
        <is>
          <t>No</t>
        </is>
      </c>
    </row>
    <row r="12" ht="26.85" customHeight="1" s="15">
      <c r="A12" s="18" t="inlineStr">
        <is>
          <t>Motor cable</t>
        </is>
      </c>
      <c r="B12" s="19" t="inlineStr">
        <is>
          <t>Connects the motor to the board</t>
        </is>
      </c>
      <c r="C12" s="19" t="inlineStr">
        <is>
          <t>JST SHR-02V-S housing + ASSHSSH28K102 lead, cut in half</t>
        </is>
      </c>
      <c r="D12" s="19" t="inlineStr">
        <is>
          <t>Digi-Key</t>
        </is>
      </c>
      <c r="E12" s="23" t="n">
        <v>3</v>
      </c>
      <c r="F12" s="24" t="n">
        <v>0.6</v>
      </c>
      <c r="G12" s="25">
        <f>E12*F12</f>
        <v/>
      </c>
      <c r="H12" s="26" t="inlineStr">
        <is>
          <t>No</t>
        </is>
      </c>
    </row>
    <row r="13" s="15"/>
    <row r="14" ht="15" customHeight="1" s="15">
      <c r="A14" s="20" t="inlineStr">
        <is>
          <t>Tools (IYA Makerspace)</t>
        </is>
      </c>
      <c r="B14" s="21" t="n"/>
      <c r="C14" s="21" t="n"/>
      <c r="D14" s="21" t="n"/>
      <c r="E14" s="21" t="n"/>
      <c r="F14" s="21" t="n"/>
      <c r="G14" s="21" t="n"/>
      <c r="H14" s="21" t="n"/>
    </row>
    <row r="15" ht="15" customHeight="1" s="15">
      <c r="A15" s="22" t="inlineStr">
        <is>
          <t>Part</t>
        </is>
      </c>
      <c r="B15" s="22" t="inlineStr">
        <is>
          <t>What it is for</t>
        </is>
      </c>
      <c r="C15" s="22" t="inlineStr">
        <is>
          <t>Exact part number</t>
        </is>
      </c>
      <c r="D15" s="22" t="inlineStr">
        <is>
          <t>Buy from</t>
        </is>
      </c>
      <c r="E15" s="22" t="inlineStr">
        <is>
          <t>Qty</t>
        </is>
      </c>
      <c r="F15" s="22" t="inlineStr">
        <is>
          <t>Price each</t>
        </is>
      </c>
      <c r="G15" s="22" t="inlineStr">
        <is>
          <t>Total</t>
        </is>
      </c>
      <c r="H15" s="22" t="inlineStr">
        <is>
          <t>Bought?</t>
        </is>
      </c>
    </row>
    <row r="16" ht="15" customHeight="1" s="15">
      <c r="A16" s="18" t="inlineStr">
        <is>
          <t>Programmer</t>
        </is>
      </c>
      <c r="B16" s="19" t="inlineStr">
        <is>
          <t>Puts our software on the board</t>
        </is>
      </c>
      <c r="C16" s="19" t="inlineStr">
        <is>
          <t>Nordic nRF54L15-DK ($39 at Digi-Key if not borrowed)</t>
        </is>
      </c>
      <c r="D16" s="19" t="inlineStr">
        <is>
          <t>IYA Makerspace</t>
        </is>
      </c>
      <c r="E16" s="23" t="n">
        <v>1</v>
      </c>
      <c r="F16" s="24" t="n">
        <v>0</v>
      </c>
      <c r="G16" s="25">
        <f>E16*F16</f>
        <v/>
      </c>
      <c r="H16" s="26" t="inlineStr">
        <is>
          <t>No</t>
        </is>
      </c>
    </row>
    <row r="17" ht="15" customHeight="1" s="15">
      <c r="A17" s="18" t="inlineStr">
        <is>
          <t>Debug cable</t>
        </is>
      </c>
      <c r="B17" s="19" t="inlineStr">
        <is>
          <t>Connects programmer to board</t>
        </is>
      </c>
      <c r="C17" s="19" t="inlineStr">
        <is>
          <t>Samtec FFSD-05-D-02.00-01-N, 10-pin, 5 cm ($10.59 at Digi-Key)</t>
        </is>
      </c>
      <c r="D17" s="19" t="inlineStr">
        <is>
          <t>IYA Makerspace</t>
        </is>
      </c>
      <c r="E17" s="23" t="n">
        <v>1</v>
      </c>
      <c r="F17" s="24" t="n">
        <v>0</v>
      </c>
      <c r="G17" s="25">
        <f>E17*F17</f>
        <v/>
      </c>
      <c r="H17" s="26" t="inlineStr">
        <is>
          <t>No</t>
        </is>
      </c>
    </row>
    <row r="18" ht="26.85" customHeight="1" s="15">
      <c r="A18" s="18" t="inlineStr">
        <is>
          <t>Solder + flux</t>
        </is>
      </c>
      <c r="B18" s="19" t="inlineStr">
        <is>
          <t>To solder the module and the motor wires</t>
        </is>
      </c>
      <c r="C18" s="19" t="inlineStr">
        <is>
          <t>Solder wire + no-clean flux</t>
        </is>
      </c>
      <c r="D18" s="19" t="inlineStr">
        <is>
          <t>IYA Makerspace</t>
        </is>
      </c>
      <c r="E18" s="23" t="n">
        <v>1</v>
      </c>
      <c r="F18" s="24" t="n">
        <v>0</v>
      </c>
      <c r="G18" s="25">
        <f>E18*F18</f>
        <v/>
      </c>
      <c r="H18" s="26" t="inlineStr">
        <is>
          <t>No</t>
        </is>
      </c>
    </row>
    <row r="19" ht="15" customHeight="1" s="15">
      <c r="A19" s="18" t="inlineStr">
        <is>
          <t>Heat-shrink tubing</t>
        </is>
      </c>
      <c r="B19" s="19" t="inlineStr">
        <is>
          <t>Covers the motor wire joints</t>
        </is>
      </c>
      <c r="C19" s="19" t="inlineStr">
        <is>
          <t>Small (1–2 mm) heat-shrink</t>
        </is>
      </c>
      <c r="D19" s="19" t="inlineStr">
        <is>
          <t>IYA Makerspace</t>
        </is>
      </c>
      <c r="E19" s="23" t="n">
        <v>1</v>
      </c>
      <c r="F19" s="24" t="n">
        <v>0</v>
      </c>
      <c r="G19" s="25">
        <f>E19*F19</f>
        <v/>
      </c>
      <c r="H19" s="26" t="inlineStr">
        <is>
          <t>No</t>
        </is>
      </c>
    </row>
    <row r="20" ht="15" customHeight="1" s="15">
      <c r="A20" s="18" t="inlineStr">
        <is>
          <t>Multimeter</t>
        </is>
      </c>
      <c r="B20" s="19" t="inlineStr">
        <is>
          <t>Check battery + / − and shorts</t>
        </is>
      </c>
      <c r="C20" s="19" t="inlineStr">
        <is>
          <t>Any basic multimeter</t>
        </is>
      </c>
      <c r="D20" s="19" t="inlineStr">
        <is>
          <t>IYA Makerspace</t>
        </is>
      </c>
      <c r="E20" s="23" t="n">
        <v>1</v>
      </c>
      <c r="F20" s="24" t="n">
        <v>0</v>
      </c>
      <c r="G20" s="25">
        <f>E20*F20</f>
        <v/>
      </c>
      <c r="H20" s="26" t="inlineStr">
        <is>
          <t>No</t>
        </is>
      </c>
    </row>
    <row r="21" s="15"/>
    <row r="22" ht="15" customHeight="1" s="15">
      <c r="F22" s="27" t="inlineStr">
        <is>
          <t>TOTAL</t>
        </is>
      </c>
      <c r="G22" s="28">
        <f>SUMPRODUCT(E5:E21,F5:F21)</f>
        <v/>
      </c>
    </row>
    <row r="23" s="15"/>
  </sheetData>
  <dataValidations count="1">
    <dataValidation sqref="H5 H9:H12 H16:H20" showDropDown="0" showInputMessage="0" showErrorMessage="0" allowBlank="0" type="list">
      <formula1>"Yes,No"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2026-10-10T19:18:00Z</dcterms:created>
  <dcterms:modified xsi:type="dcterms:W3CDTF">2026-10-11T20:45:59Z</dcterms:modified>
  <cp:revision>0</cp:revision>
</cp:coreProperties>
</file>