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e buy" sheetId="1" state="visible" r:id="rId3"/>
    <sheet name="JLCPCB mak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<sst xmlns="http://schemas.openxmlformats.org/spreadsheetml/2006/main" count="157" uniqueCount="123">
  <si>
    <t xml:space="preserve">Parts WE buy</t>
  </si>
  <si>
    <t xml:space="preserve">For 2 boards, with a spare where it helps. Prices are rough (Oct 2026). Tick "Bought?" as you go.</t>
  </si>
  <si>
    <t xml:space="preserve">1. Goes ON the board (we solder these on)</t>
  </si>
  <si>
    <t xml:space="preserve">Part</t>
  </si>
  <si>
    <t xml:space="preserve">What it is for</t>
  </si>
  <si>
    <t xml:space="preserve">Exact part number</t>
  </si>
  <si>
    <t xml:space="preserve">Buy from</t>
  </si>
  <si>
    <t xml:space="preserve">Qty</t>
  </si>
  <si>
    <t xml:space="preserve">Price each</t>
  </si>
  <si>
    <t xml:space="preserve">Total</t>
  </si>
  <si>
    <t xml:space="preserve">Bought?</t>
  </si>
  <si>
    <t xml:space="preserve">Notes</t>
  </si>
  <si>
    <t xml:space="preserve">Bluetooth module</t>
  </si>
  <si>
    <t xml:space="preserve">The brain + Bluetooth</t>
  </si>
  <si>
    <t xml:space="preserve">Ezurio BL54L15 453-00044C</t>
  </si>
  <si>
    <t xml:space="preserve">Newark</t>
  </si>
  <si>
    <t xml:space="preserve">No</t>
  </si>
  <si>
    <t xml:space="preserve">2 boards + 1 spare. NOT 453-00223, NOT a "-K1" kit.</t>
  </si>
  <si>
    <t xml:space="preserve">Buttons</t>
  </si>
  <si>
    <t xml:space="preserve">Power and calibrate buttons</t>
  </si>
  <si>
    <t xml:space="preserve">Omron B3U-1000P</t>
  </si>
  <si>
    <t xml:space="preserve">Digi-Key</t>
  </si>
  <si>
    <t xml:space="preserve">2 per board + 1 spare.</t>
  </si>
  <si>
    <t xml:space="preserve">2. Plugs INTO the board</t>
  </si>
  <si>
    <t xml:space="preserve">Antenna</t>
  </si>
  <si>
    <t xml:space="preserve">Bluetooth signal</t>
  </si>
  <si>
    <t xml:space="preserve">Taoglas FXP830 (MHF4 plug)</t>
  </si>
  <si>
    <t xml:space="preserve">Digi-Key / Mouser</t>
  </si>
  <si>
    <t xml:space="preserve">Clicks onto the module.</t>
  </si>
  <si>
    <t xml:space="preserve">Battery</t>
  </si>
  <si>
    <t xml:space="preserve">Power</t>
  </si>
  <si>
    <t xml:space="preserve">Adafruit #1570 (100 mAh LiPo)</t>
  </si>
  <si>
    <t xml:space="preserve">Adafruit</t>
  </si>
  <si>
    <t xml:space="preserve">Don't cut the wire. Check + and − with a multimeter before plugging in.</t>
  </si>
  <si>
    <t xml:space="preserve">Vibration motor</t>
  </si>
  <si>
    <t xml:space="preserve">The "tap"</t>
  </si>
  <si>
    <t xml:space="preserve">Vybronics VG0832022D</t>
  </si>
  <si>
    <t xml:space="preserve">The 022D (long wires), not the 013D. 2 + 1 spare.</t>
  </si>
  <si>
    <t xml:space="preserve">Motor cable</t>
  </si>
  <si>
    <t xml:space="preserve">Connects the motor to the board</t>
  </si>
  <si>
    <t xml:space="preserve">JST-SH 2-pin cable, 1.0 mm, pre-crimped</t>
  </si>
  <si>
    <t xml:space="preserve">Amazon / Digi-Key</t>
  </si>
  <si>
    <t xml:space="preserve">Solder the motor wires to it.</t>
  </si>
  <si>
    <t xml:space="preserve">3. Tools (buy once)</t>
  </si>
  <si>
    <t xml:space="preserve">Programmer</t>
  </si>
  <si>
    <t xml:space="preserve">Puts our software on the board</t>
  </si>
  <si>
    <t xml:space="preserve">Nordic nRF54L15 DK</t>
  </si>
  <si>
    <t xml:space="preserve">Debug cable</t>
  </si>
  <si>
    <t xml:space="preserve">Connects programmer to board</t>
  </si>
  <si>
    <t xml:space="preserve">10-pin 2x5, 1.27 mm cable</t>
  </si>
  <si>
    <t xml:space="preserve">Adafruit / Digi-Key</t>
  </si>
  <si>
    <t xml:space="preserve">Pull pin 7 on the board's debug header, or use an unkeyed cable.</t>
  </si>
  <si>
    <t xml:space="preserve">Solder + flux</t>
  </si>
  <si>
    <t xml:space="preserve">To solder the module and buttons</t>
  </si>
  <si>
    <t xml:space="preserve">Solder wire + no-clean flux</t>
  </si>
  <si>
    <t xml:space="preserve">Amazon</t>
  </si>
  <si>
    <t xml:space="preserve">Heat-shrink tubing</t>
  </si>
  <si>
    <t xml:space="preserve">Covers the motor wire joints</t>
  </si>
  <si>
    <t xml:space="preserve">Small (1–2 mm) heat-shrink</t>
  </si>
  <si>
    <t xml:space="preserve">Multimeter</t>
  </si>
  <si>
    <t xml:space="preserve">Check battery + / − and shorts</t>
  </si>
  <si>
    <t xml:space="preserve">Any basic multimeter</t>
  </si>
  <si>
    <t xml:space="preserve">Skip if someone has one.</t>
  </si>
  <si>
    <t xml:space="preserve">TOTAL</t>
  </si>
  <si>
    <t xml:space="preserve">Parts only. JLCPCB's board, assembly and shipping are separate (about $105–155 more).</t>
  </si>
  <si>
    <t xml:space="preserve">JLCPCB makes the board and solders on everything else</t>
  </si>
  <si>
    <t xml:space="preserve">Upload these 3 files from GitHub (hardware-rev0 → hardware/devboard/fab/): cue_devboard_gerbers.zip, bom.csv, cpl.csv</t>
  </si>
  <si>
    <t xml:space="preserve">Nothing to buy here: it's all in JLCPCB's order. The module and buttons are NOT in these files on purpose (we buy those).</t>
  </si>
  <si>
    <t xml:space="preserve">On the board as</t>
  </si>
  <si>
    <t xml:space="preserve">LCSC #</t>
  </si>
  <si>
    <t xml:space="preserve">Qty per board</t>
  </si>
  <si>
    <t xml:space="preserve">nPM1300</t>
  </si>
  <si>
    <t xml:space="preserve">Charging + power</t>
  </si>
  <si>
    <t xml:space="preserve">U2</t>
  </si>
  <si>
    <t xml:space="preserve">C7466043</t>
  </si>
  <si>
    <t xml:space="preserve">T5838</t>
  </si>
  <si>
    <t xml:space="preserve">Microphone</t>
  </si>
  <si>
    <t xml:space="preserve">U4</t>
  </si>
  <si>
    <t xml:space="preserve">C7230692</t>
  </si>
  <si>
    <t xml:space="preserve">LSM6DSV16BX</t>
  </si>
  <si>
    <t xml:space="preserve">Motion + bone sensor (hears your voice through bone)</t>
  </si>
  <si>
    <t xml:space="preserve">U3</t>
  </si>
  <si>
    <t xml:space="preserve">C5267394</t>
  </si>
  <si>
    <t xml:space="preserve">DRV2605L</t>
  </si>
  <si>
    <t xml:space="preserve">Drives the vibration motor</t>
  </si>
  <si>
    <t xml:space="preserve">U5</t>
  </si>
  <si>
    <t xml:space="preserve">C527464</t>
  </si>
  <si>
    <t xml:space="preserve">USB-C port</t>
  </si>
  <si>
    <t xml:space="preserve">Charging port</t>
  </si>
  <si>
    <t xml:space="preserve">J1</t>
  </si>
  <si>
    <t xml:space="preserve">C5246813</t>
  </si>
  <si>
    <t xml:space="preserve">Battery connector</t>
  </si>
  <si>
    <t xml:space="preserve">Battery plug</t>
  </si>
  <si>
    <t xml:space="preserve">J2</t>
  </si>
  <si>
    <t xml:space="preserve">C295747</t>
  </si>
  <si>
    <t xml:space="preserve">Motor connector</t>
  </si>
  <si>
    <t xml:space="preserve">Motor plug</t>
  </si>
  <si>
    <t xml:space="preserve">J3</t>
  </si>
  <si>
    <t xml:space="preserve">C160402</t>
  </si>
  <si>
    <t xml:space="preserve">Debug header</t>
  </si>
  <si>
    <t xml:space="preserve">Programming port</t>
  </si>
  <si>
    <t xml:space="preserve">J4</t>
  </si>
  <si>
    <t xml:space="preserve">C2932107</t>
  </si>
  <si>
    <t xml:space="preserve">TVS 5V</t>
  </si>
  <si>
    <t xml:space="preserve">Protects the USB port</t>
  </si>
  <si>
    <t xml:space="preserve">D1</t>
  </si>
  <si>
    <t xml:space="preserve">C82044</t>
  </si>
  <si>
    <t xml:space="preserve">2.2uH</t>
  </si>
  <si>
    <t xml:space="preserve">Power coil</t>
  </si>
  <si>
    <t xml:space="preserve">L1</t>
  </si>
  <si>
    <t xml:space="preserve">C2049745</t>
  </si>
  <si>
    <t xml:space="preserve">10k NTC</t>
  </si>
  <si>
    <t xml:space="preserve">Battery temperature sensor</t>
  </si>
  <si>
    <t xml:space="preserve">RT1</t>
  </si>
  <si>
    <t xml:space="preserve">C77131</t>
  </si>
  <si>
    <t xml:space="preserve">Small parts</t>
  </si>
  <si>
    <t xml:space="preserve">Resistors and capacitors (24 pieces)</t>
  </si>
  <si>
    <t xml:space="preserve">C1,C4,C11,C12,C17,C19, C2,C5,C6,C18,C20,C21, C3, C16, C8,C9,C10,C22, R1,R2, R3, R6, R7,R8</t>
  </si>
  <si>
    <t xml:space="preserve">see bom.csv</t>
  </si>
  <si>
    <t xml:space="preserve">Check in JLCPCB before paying</t>
  </si>
  <si>
    <t xml:space="preserve">• USB-C (C5246813) showed 0 stock on Oct 5: if still 0, search "USB4125" and pick any in-stock USB4125-GF-A.</t>
  </si>
  <si>
    <t xml:space="preserve">• Placement preview: the mic must sit over its sound hole, and the USB-C, battery and motor connectors must face the board edge.</t>
  </si>
  <si>
    <t xml:space="preserve">• Pick "Standard" assembly and "edge rails added by JLCPCB".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</si>
</sst>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8ECF4"/>
        <bgColor rgb="FFFFFFFF"/>
      </patternFill>
    </fill>
    <fill>
      <patternFill patternType="solid">
        <fgColor rgb="FF1F2A44"/>
        <bgColor rgb="FF003366"/>
      </patternFill>
    </fill>
    <fill>
      <patternFill patternType="solid">
        <fgColor rgb="FFFFF7B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7B3"/>
      <rgbColor rgb="FFE8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36"/>
    <col collapsed="false" customWidth="true" hidden="false" outlineLevel="0" max="4" min="4" style="0" width="18"/>
    <col collapsed="false" customWidth="true" hidden="false" outlineLevel="0" max="5" min="5" style="0" width="6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48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</row>
    <row r="6" customFormat="false" ht="26.85" hidden="false" customHeight="false" outlineLevel="0" collapsed="false">
      <c r="A6" s="6" t="s">
        <v>12</v>
      </c>
      <c r="B6" s="7" t="s">
        <v>13</v>
      </c>
      <c r="C6" s="7" t="s">
        <v>14</v>
      </c>
      <c r="D6" s="7" t="s">
        <v>15</v>
      </c>
      <c r="E6" s="8" t="n">
        <v>3</v>
      </c>
      <c r="F6" s="9" t="n">
        <v>6</v>
      </c>
      <c r="G6" s="10" t="n">
        <f aca="false">E6*F6</f>
        <v>18</v>
      </c>
      <c r="H6" s="11" t="s">
        <v>16</v>
      </c>
      <c r="I6" s="7" t="s">
        <v>17</v>
      </c>
    </row>
    <row r="7" customFormat="false" ht="15" hidden="false" customHeight="false" outlineLevel="0" collapsed="false">
      <c r="A7" s="6" t="s">
        <v>18</v>
      </c>
      <c r="B7" s="7" t="s">
        <v>19</v>
      </c>
      <c r="C7" s="7" t="s">
        <v>20</v>
      </c>
      <c r="D7" s="7" t="s">
        <v>21</v>
      </c>
      <c r="E7" s="8" t="n">
        <v>5</v>
      </c>
      <c r="F7" s="9" t="n">
        <v>1</v>
      </c>
      <c r="G7" s="10" t="n">
        <f aca="false">E7*F7</f>
        <v>5</v>
      </c>
      <c r="H7" s="11" t="s">
        <v>16</v>
      </c>
      <c r="I7" s="7" t="s">
        <v>22</v>
      </c>
    </row>
    <row r="9" customFormat="false" ht="15" hidden="false" customHeight="false" outlineLevel="0" collapsed="false">
      <c r="A9" s="3" t="s">
        <v>23</v>
      </c>
      <c r="B9" s="4"/>
      <c r="C9" s="4"/>
      <c r="D9" s="4"/>
      <c r="E9" s="4"/>
      <c r="F9" s="4"/>
      <c r="G9" s="4"/>
      <c r="H9" s="4"/>
      <c r="I9" s="4"/>
    </row>
    <row r="10" customFormat="false" ht="15" hidden="false" customHeight="false" outlineLevel="0" collapsed="false">
      <c r="A10" s="5" t="s">
        <v>3</v>
      </c>
      <c r="B10" s="5" t="s">
        <v>4</v>
      </c>
      <c r="C10" s="5" t="s">
        <v>5</v>
      </c>
      <c r="D10" s="5" t="s">
        <v>6</v>
      </c>
      <c r="E10" s="5" t="s">
        <v>7</v>
      </c>
      <c r="F10" s="5" t="s">
        <v>8</v>
      </c>
      <c r="G10" s="5" t="s">
        <v>9</v>
      </c>
      <c r="H10" s="5" t="s">
        <v>10</v>
      </c>
      <c r="I10" s="5" t="s">
        <v>11</v>
      </c>
    </row>
    <row r="11" customFormat="false" ht="15" hidden="false" customHeight="false" outlineLevel="0" collapsed="false">
      <c r="A11" s="6" t="s">
        <v>24</v>
      </c>
      <c r="B11" s="7" t="s">
        <v>25</v>
      </c>
      <c r="C11" s="7" t="s">
        <v>26</v>
      </c>
      <c r="D11" s="7" t="s">
        <v>27</v>
      </c>
      <c r="E11" s="8" t="n">
        <v>2</v>
      </c>
      <c r="F11" s="9" t="n">
        <v>6</v>
      </c>
      <c r="G11" s="10" t="n">
        <f aca="false">E11*F11</f>
        <v>12</v>
      </c>
      <c r="H11" s="11" t="s">
        <v>16</v>
      </c>
      <c r="I11" s="7" t="s">
        <v>28</v>
      </c>
    </row>
    <row r="12" customFormat="false" ht="26.85" hidden="false" customHeight="false" outlineLevel="0" collapsed="false">
      <c r="A12" s="6" t="s">
        <v>29</v>
      </c>
      <c r="B12" s="7" t="s">
        <v>30</v>
      </c>
      <c r="C12" s="7" t="s">
        <v>31</v>
      </c>
      <c r="D12" s="7" t="s">
        <v>32</v>
      </c>
      <c r="E12" s="8" t="n">
        <v>2</v>
      </c>
      <c r="F12" s="9" t="n">
        <v>6</v>
      </c>
      <c r="G12" s="10" t="n">
        <f aca="false">E12*F12</f>
        <v>12</v>
      </c>
      <c r="H12" s="11" t="s">
        <v>16</v>
      </c>
      <c r="I12" s="7" t="s">
        <v>33</v>
      </c>
    </row>
    <row r="13" customFormat="false" ht="15" hidden="false" customHeight="false" outlineLevel="0" collapsed="false">
      <c r="A13" s="6" t="s">
        <v>34</v>
      </c>
      <c r="B13" s="7" t="s">
        <v>35</v>
      </c>
      <c r="C13" s="7" t="s">
        <v>36</v>
      </c>
      <c r="D13" s="7" t="s">
        <v>21</v>
      </c>
      <c r="E13" s="8" t="n">
        <v>3</v>
      </c>
      <c r="F13" s="9" t="n">
        <v>5</v>
      </c>
      <c r="G13" s="10" t="n">
        <f aca="false">E13*F13</f>
        <v>15</v>
      </c>
      <c r="H13" s="11" t="s">
        <v>16</v>
      </c>
      <c r="I13" s="7" t="s">
        <v>37</v>
      </c>
    </row>
    <row r="14" customFormat="false" ht="26.85" hidden="false" customHeight="false" outlineLevel="0" collapsed="false">
      <c r="A14" s="6" t="s">
        <v>38</v>
      </c>
      <c r="B14" s="7" t="s">
        <v>39</v>
      </c>
      <c r="C14" s="7" t="s">
        <v>40</v>
      </c>
      <c r="D14" s="7" t="s">
        <v>41</v>
      </c>
      <c r="E14" s="8" t="n">
        <v>3</v>
      </c>
      <c r="F14" s="9" t="n">
        <v>1.5</v>
      </c>
      <c r="G14" s="10" t="n">
        <f aca="false">E14*F14</f>
        <v>4.5</v>
      </c>
      <c r="H14" s="11" t="s">
        <v>16</v>
      </c>
      <c r="I14" s="7" t="s">
        <v>42</v>
      </c>
    </row>
    <row r="16" customFormat="false" ht="15" hidden="false" customHeight="false" outlineLevel="0" collapsed="false">
      <c r="A16" s="3" t="s">
        <v>43</v>
      </c>
      <c r="B16" s="4"/>
      <c r="C16" s="4"/>
      <c r="D16" s="4"/>
      <c r="E16" s="4"/>
      <c r="F16" s="4"/>
      <c r="G16" s="4"/>
      <c r="H16" s="4"/>
      <c r="I16" s="4"/>
    </row>
    <row r="17" customFormat="false" ht="15" hidden="false" customHeight="false" outlineLevel="0" collapsed="false">
      <c r="A17" s="5" t="s">
        <v>3</v>
      </c>
      <c r="B17" s="5" t="s">
        <v>4</v>
      </c>
      <c r="C17" s="5" t="s">
        <v>5</v>
      </c>
      <c r="D17" s="5" t="s">
        <v>6</v>
      </c>
      <c r="E17" s="5" t="s">
        <v>7</v>
      </c>
      <c r="F17" s="5" t="s">
        <v>8</v>
      </c>
      <c r="G17" s="5" t="s">
        <v>9</v>
      </c>
      <c r="H17" s="5" t="s">
        <v>10</v>
      </c>
      <c r="I17" s="5" t="s">
        <v>11</v>
      </c>
    </row>
    <row r="18" customFormat="false" ht="15" hidden="false" customHeight="false" outlineLevel="0" collapsed="false">
      <c r="A18" s="6" t="s">
        <v>44</v>
      </c>
      <c r="B18" s="7" t="s">
        <v>45</v>
      </c>
      <c r="C18" s="7" t="s">
        <v>46</v>
      </c>
      <c r="D18" s="7" t="s">
        <v>27</v>
      </c>
      <c r="E18" s="8" t="n">
        <v>1</v>
      </c>
      <c r="F18" s="9" t="n">
        <v>40</v>
      </c>
      <c r="G18" s="10" t="n">
        <f aca="false">E18*F18</f>
        <v>40</v>
      </c>
      <c r="H18" s="11" t="s">
        <v>16</v>
      </c>
      <c r="I18" s="7"/>
    </row>
    <row r="19" customFormat="false" ht="26.85" hidden="false" customHeight="false" outlineLevel="0" collapsed="false">
      <c r="A19" s="6" t="s">
        <v>47</v>
      </c>
      <c r="B19" s="7" t="s">
        <v>48</v>
      </c>
      <c r="C19" s="7" t="s">
        <v>49</v>
      </c>
      <c r="D19" s="7" t="s">
        <v>50</v>
      </c>
      <c r="E19" s="8" t="n">
        <v>1</v>
      </c>
      <c r="F19" s="9" t="n">
        <v>3</v>
      </c>
      <c r="G19" s="10" t="n">
        <f aca="false">E19*F19</f>
        <v>3</v>
      </c>
      <c r="H19" s="11" t="s">
        <v>16</v>
      </c>
      <c r="I19" s="7" t="s">
        <v>51</v>
      </c>
    </row>
    <row r="20" customFormat="false" ht="26.85" hidden="false" customHeight="false" outlineLevel="0" collapsed="false">
      <c r="A20" s="6" t="s">
        <v>52</v>
      </c>
      <c r="B20" s="7" t="s">
        <v>53</v>
      </c>
      <c r="C20" s="7" t="s">
        <v>54</v>
      </c>
      <c r="D20" s="7" t="s">
        <v>55</v>
      </c>
      <c r="E20" s="8" t="n">
        <v>1</v>
      </c>
      <c r="F20" s="9" t="n">
        <v>10</v>
      </c>
      <c r="G20" s="10" t="n">
        <f aca="false">E20*F20</f>
        <v>10</v>
      </c>
      <c r="H20" s="11" t="s">
        <v>16</v>
      </c>
      <c r="I20" s="7"/>
    </row>
    <row r="21" customFormat="false" ht="15" hidden="false" customHeight="false" outlineLevel="0" collapsed="false">
      <c r="A21" s="6" t="s">
        <v>56</v>
      </c>
      <c r="B21" s="7" t="s">
        <v>57</v>
      </c>
      <c r="C21" s="7" t="s">
        <v>58</v>
      </c>
      <c r="D21" s="7" t="s">
        <v>55</v>
      </c>
      <c r="E21" s="8" t="n">
        <v>1</v>
      </c>
      <c r="F21" s="9" t="n">
        <v>5</v>
      </c>
      <c r="G21" s="10" t="n">
        <f aca="false">E21*F21</f>
        <v>5</v>
      </c>
      <c r="H21" s="11" t="s">
        <v>16</v>
      </c>
      <c r="I21" s="7"/>
    </row>
    <row r="22" customFormat="false" ht="15" hidden="false" customHeight="false" outlineLevel="0" collapsed="false">
      <c r="A22" s="6" t="s">
        <v>59</v>
      </c>
      <c r="B22" s="7" t="s">
        <v>60</v>
      </c>
      <c r="C22" s="7" t="s">
        <v>61</v>
      </c>
      <c r="D22" s="7" t="s">
        <v>55</v>
      </c>
      <c r="E22" s="8" t="n">
        <v>1</v>
      </c>
      <c r="F22" s="9" t="n">
        <v>20</v>
      </c>
      <c r="G22" s="10" t="n">
        <f aca="false">E22*F22</f>
        <v>20</v>
      </c>
      <c r="H22" s="11" t="s">
        <v>16</v>
      </c>
      <c r="I22" s="7" t="s">
        <v>62</v>
      </c>
    </row>
    <row r="24" customFormat="false" ht="15" hidden="false" customHeight="false" outlineLevel="0" collapsed="false">
      <c r="F24" s="12" t="s">
        <v>63</v>
      </c>
      <c r="G24" s="13" t="n">
        <f aca="false">SUMPRODUCT(E6:E23,F6:F23)</f>
        <v>144.5</v>
      </c>
    </row>
    <row r="25" customFormat="false" ht="15" hidden="false" customHeight="false" outlineLevel="0" collapsed="false">
      <c r="A25" s="2" t="s">
        <v>64</v>
      </c>
    </row>
  </sheetData>
  <dataValidations count="1">
    <dataValidation allowBlank="false" errorStyle="stop" operator="between" showDropDown="false" showErrorMessage="false" showInputMessage="false" sqref="H6:H7 H11:H14 H18:H22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8.55" hidden="false" customHeight="false" outlineLevel="0" collapsed="false">
      <c r="A1" s="1" t="s">
        <v>65</v>
      </c>
    </row>
    <row r="2" customFormat="false" ht="15" hidden="false" customHeight="false" outlineLevel="0" collapsed="false">
      <c r="A2" s="12" t="s">
        <v>66</v>
      </c>
    </row>
    <row r="3" customFormat="false" ht="15" hidden="false" customHeight="false" outlineLevel="0" collapsed="false">
      <c r="A3" s="2" t="s">
        <v>67</v>
      </c>
    </row>
    <row r="5" customFormat="false" ht="15" hidden="false" customHeight="false" outlineLevel="0" collapsed="false">
      <c r="A5" s="14" t="s">
        <v>3</v>
      </c>
      <c r="B5" s="14" t="s">
        <v>4</v>
      </c>
      <c r="C5" s="14" t="s">
        <v>68</v>
      </c>
      <c r="D5" s="14" t="s">
        <v>69</v>
      </c>
      <c r="E5" s="14" t="s">
        <v>70</v>
      </c>
    </row>
    <row r="6" customFormat="false" ht="15" hidden="false" customHeight="false" outlineLevel="0" collapsed="false">
      <c r="A6" s="6" t="s">
        <v>71</v>
      </c>
      <c r="B6" s="7" t="s">
        <v>72</v>
      </c>
      <c r="C6" s="7" t="s">
        <v>73</v>
      </c>
      <c r="D6" s="7" t="s">
        <v>74</v>
      </c>
      <c r="E6" s="7" t="n">
        <v>1</v>
      </c>
    </row>
    <row r="7" customFormat="false" ht="15" hidden="false" customHeight="false" outlineLevel="0" collapsed="false">
      <c r="A7" s="6" t="s">
        <v>75</v>
      </c>
      <c r="B7" s="7" t="s">
        <v>76</v>
      </c>
      <c r="C7" s="7" t="s">
        <v>77</v>
      </c>
      <c r="D7" s="7" t="s">
        <v>78</v>
      </c>
      <c r="E7" s="7" t="n">
        <v>1</v>
      </c>
    </row>
    <row r="8" customFormat="false" ht="26.85" hidden="false" customHeight="false" outlineLevel="0" collapsed="false">
      <c r="A8" s="6" t="s">
        <v>79</v>
      </c>
      <c r="B8" s="7" t="s">
        <v>80</v>
      </c>
      <c r="C8" s="7" t="s">
        <v>81</v>
      </c>
      <c r="D8" s="7" t="s">
        <v>82</v>
      </c>
      <c r="E8" s="7" t="n">
        <v>1</v>
      </c>
    </row>
    <row r="9" customFormat="false" ht="15" hidden="false" customHeight="false" outlineLevel="0" collapsed="false">
      <c r="A9" s="6" t="s">
        <v>83</v>
      </c>
      <c r="B9" s="7" t="s">
        <v>84</v>
      </c>
      <c r="C9" s="7" t="s">
        <v>85</v>
      </c>
      <c r="D9" s="7" t="s">
        <v>86</v>
      </c>
      <c r="E9" s="7" t="n">
        <v>1</v>
      </c>
    </row>
    <row r="10" customFormat="false" ht="15" hidden="false" customHeight="false" outlineLevel="0" collapsed="false">
      <c r="A10" s="6" t="s">
        <v>87</v>
      </c>
      <c r="B10" s="7" t="s">
        <v>88</v>
      </c>
      <c r="C10" s="7" t="s">
        <v>89</v>
      </c>
      <c r="D10" s="7" t="s">
        <v>90</v>
      </c>
      <c r="E10" s="7" t="n">
        <v>1</v>
      </c>
    </row>
    <row r="11" customFormat="false" ht="15" hidden="false" customHeight="false" outlineLevel="0" collapsed="false">
      <c r="A11" s="6" t="s">
        <v>91</v>
      </c>
      <c r="B11" s="7" t="s">
        <v>92</v>
      </c>
      <c r="C11" s="7" t="s">
        <v>93</v>
      </c>
      <c r="D11" s="7" t="s">
        <v>94</v>
      </c>
      <c r="E11" s="7" t="n">
        <v>1</v>
      </c>
    </row>
    <row r="12" customFormat="false" ht="15" hidden="false" customHeight="false" outlineLevel="0" collapsed="false">
      <c r="A12" s="6" t="s">
        <v>95</v>
      </c>
      <c r="B12" s="7" t="s">
        <v>96</v>
      </c>
      <c r="C12" s="7" t="s">
        <v>97</v>
      </c>
      <c r="D12" s="7" t="s">
        <v>98</v>
      </c>
      <c r="E12" s="7" t="n">
        <v>1</v>
      </c>
    </row>
    <row r="13" customFormat="false" ht="15" hidden="false" customHeight="false" outlineLevel="0" collapsed="false">
      <c r="A13" s="6" t="s">
        <v>99</v>
      </c>
      <c r="B13" s="7" t="s">
        <v>100</v>
      </c>
      <c r="C13" s="7" t="s">
        <v>101</v>
      </c>
      <c r="D13" s="7" t="s">
        <v>102</v>
      </c>
      <c r="E13" s="7" t="n">
        <v>1</v>
      </c>
    </row>
    <row r="14" customFormat="false" ht="15" hidden="false" customHeight="false" outlineLevel="0" collapsed="false">
      <c r="A14" s="6" t="s">
        <v>103</v>
      </c>
      <c r="B14" s="7" t="s">
        <v>104</v>
      </c>
      <c r="C14" s="7" t="s">
        <v>105</v>
      </c>
      <c r="D14" s="7" t="s">
        <v>106</v>
      </c>
      <c r="E14" s="7" t="n">
        <v>1</v>
      </c>
    </row>
    <row r="15" customFormat="false" ht="15" hidden="false" customHeight="false" outlineLevel="0" collapsed="false">
      <c r="A15" s="6" t="s">
        <v>107</v>
      </c>
      <c r="B15" s="7" t="s">
        <v>108</v>
      </c>
      <c r="C15" s="7" t="s">
        <v>109</v>
      </c>
      <c r="D15" s="7" t="s">
        <v>110</v>
      </c>
      <c r="E15" s="7" t="n">
        <v>1</v>
      </c>
    </row>
    <row r="16" customFormat="false" ht="15" hidden="false" customHeight="false" outlineLevel="0" collapsed="false">
      <c r="A16" s="6" t="s">
        <v>111</v>
      </c>
      <c r="B16" s="7" t="s">
        <v>112</v>
      </c>
      <c r="C16" s="7" t="s">
        <v>113</v>
      </c>
      <c r="D16" s="7" t="s">
        <v>114</v>
      </c>
      <c r="E16" s="7" t="n">
        <v>1</v>
      </c>
    </row>
    <row r="17" customFormat="false" ht="52.2" hidden="false" customHeight="false" outlineLevel="0" collapsed="false">
      <c r="A17" s="6" t="s">
        <v>115</v>
      </c>
      <c r="B17" s="7" t="s">
        <v>116</v>
      </c>
      <c r="C17" s="7" t="s">
        <v>117</v>
      </c>
      <c r="D17" s="7" t="s">
        <v>118</v>
      </c>
      <c r="E17" s="7" t="n">
        <v>24</v>
      </c>
    </row>
    <row r="19" customFormat="false" ht="15" hidden="false" customHeight="false" outlineLevel="0" collapsed="false">
      <c r="A19" s="15" t="s">
        <v>119</v>
      </c>
    </row>
    <row r="20" customFormat="false" ht="15" hidden="false" customHeight="false" outlineLevel="0" collapsed="false">
      <c r="A20" s="16" t="s">
        <v>120</v>
      </c>
    </row>
    <row r="21" customFormat="false" ht="15" hidden="false" customHeight="false" outlineLevel="0" collapsed="false">
      <c r="A21" s="16" t="s">
        <v>121</v>
      </c>
    </row>
    <row r="22" customFormat="false" ht="15" hidden="false" customHeight="false" outlineLevel="0" collapsed="false">
      <c r="A22" s="16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2026-10-10T18:28:24Z</dcterms:created>
  <dc:creator>openpyxl</dc:creator>
  <dc:description/>
  <dc:language>en-US</dc:language>
  <cp:lastModifiedBy/>
  <dcterms:modified xsi:type="dcterms:W3CDTF">2026-10-10T18:28:24Z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